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S:\STAGE_0\DATA ANALYSIS\CODE_BASICS\EXCEL\"/>
    </mc:Choice>
  </mc:AlternateContent>
  <xr:revisionPtr revIDLastSave="0" documentId="13_ncr:1_{5C8BB41C-3FF3-4CBF-AA3F-6CEACBDF2407}" xr6:coauthVersionLast="47" xr6:coauthVersionMax="47" xr10:uidLastSave="{00000000-0000-0000-0000-000000000000}"/>
  <bookViews>
    <workbookView xWindow="-108" yWindow="-108" windowWidth="23256" windowHeight="13176" xr2:uid="{00000000-000D-0000-FFFF-FFFF00000000}"/>
  </bookViews>
  <sheets>
    <sheet name="OCTOBAR" sheetId="1" r:id="rId1"/>
    <sheet name="NOVEMBER" sheetId="2" r:id="rId2"/>
    <sheet name="DECEMBER" sheetId="3" r:id="rId3"/>
    <sheet name="JAN" sheetId="4" r:id="rId4"/>
  </sheets>
  <definedNames>
    <definedName name="_xlnm._FilterDatabase" localSheetId="0" hidden="1">OCTOBAR!$A$2:$E$14</definedName>
    <definedName name="Slicer_CATEGOR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 i="4" l="1"/>
  <c r="C9" i="4" s="1"/>
  <c r="D8" i="4"/>
  <c r="D9" i="4" s="1"/>
  <c r="E8" i="4"/>
  <c r="E9" i="4" s="1"/>
  <c r="F8" i="4"/>
  <c r="F9" i="4" s="1"/>
  <c r="G8" i="4"/>
  <c r="G9" i="4" s="1"/>
  <c r="B8" i="4"/>
  <c r="B9" i="4" s="1"/>
  <c r="A36" i="1" a="1"/>
  <c r="A36" i="1" s="1"/>
  <c r="M3" i="1"/>
  <c r="M4" i="1"/>
  <c r="J8" i="1"/>
  <c r="J9" i="1"/>
  <c r="L3" i="2" l="1"/>
  <c r="E14" i="2"/>
  <c r="F13" i="2"/>
  <c r="F12" i="2"/>
  <c r="F11" i="2"/>
  <c r="F10" i="2"/>
  <c r="F9" i="2"/>
  <c r="F8" i="2"/>
  <c r="F7" i="2"/>
  <c r="F6" i="2"/>
  <c r="F5" i="2"/>
  <c r="F4" i="2"/>
  <c r="F3" i="2"/>
  <c r="M5" i="1"/>
  <c r="M6" i="1"/>
  <c r="M7" i="1"/>
  <c r="M8" i="1"/>
  <c r="M9" i="1"/>
  <c r="M10" i="1"/>
  <c r="M11" i="1"/>
  <c r="M12" i="1"/>
  <c r="J10" i="1"/>
  <c r="A17" i="1"/>
  <c r="F4" i="1"/>
  <c r="F5" i="1"/>
  <c r="F6" i="1"/>
  <c r="F7" i="1"/>
  <c r="F8" i="1"/>
  <c r="F9" i="1"/>
  <c r="F10" i="1"/>
  <c r="F11" i="1"/>
  <c r="F12" i="1"/>
  <c r="F13" i="1"/>
  <c r="F3" i="1"/>
  <c r="E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<sst xmlns="http://schemas.openxmlformats.org/spreadsheetml/2006/main" count="95" uniqueCount="48">
  <si>
    <t>DATE</t>
  </si>
  <si>
    <t>AMMOUNT</t>
  </si>
  <si>
    <t>ITEM</t>
  </si>
  <si>
    <t>SANDWITCH</t>
  </si>
  <si>
    <t>SAMOSA</t>
  </si>
  <si>
    <t>BIRIYANI</t>
  </si>
  <si>
    <t>CAKE</t>
  </si>
  <si>
    <t>PAN</t>
  </si>
  <si>
    <t>WRAP</t>
  </si>
  <si>
    <t>DOSA</t>
  </si>
  <si>
    <t>CATEGORY</t>
  </si>
  <si>
    <t>HOME RENT</t>
  </si>
  <si>
    <t>ELECTRIC BILL</t>
  </si>
  <si>
    <t>GROCERIES</t>
  </si>
  <si>
    <t>PHONE BILL</t>
  </si>
  <si>
    <t>FOOD</t>
  </si>
  <si>
    <t>RENT</t>
  </si>
  <si>
    <t>UTILITIES</t>
  </si>
  <si>
    <t>MAJOR EXPENSE</t>
  </si>
  <si>
    <t>EXPENCES</t>
  </si>
  <si>
    <t>FREE LANCING</t>
  </si>
  <si>
    <t>SALARY</t>
  </si>
  <si>
    <t>INCOME</t>
  </si>
  <si>
    <t>YES/NO</t>
  </si>
  <si>
    <t>AVERAGE OF EXPENCE</t>
  </si>
  <si>
    <t>EXPENCE BY CATEGORY</t>
  </si>
  <si>
    <t>EXPENCE BY DATE</t>
  </si>
  <si>
    <t>Total</t>
  </si>
  <si>
    <t>SUM BY TABLE NAME AND TABLE COLUMN NAME</t>
  </si>
  <si>
    <t>COMPANY</t>
  </si>
  <si>
    <t>REVENUE</t>
  </si>
  <si>
    <t>PROFIT</t>
  </si>
  <si>
    <t>TCS</t>
  </si>
  <si>
    <t>GOOGLE</t>
  </si>
  <si>
    <t>IBM</t>
  </si>
  <si>
    <t>INFOSYS</t>
  </si>
  <si>
    <t>JIO</t>
  </si>
  <si>
    <t>VEDANTA</t>
  </si>
  <si>
    <t xml:space="preserve"> </t>
  </si>
  <si>
    <t>UNIQUE KEY</t>
  </si>
  <si>
    <t>COMPANY STATS</t>
  </si>
  <si>
    <t>COST OF GOODS SOLD(COGS)</t>
  </si>
  <si>
    <t>DEPRICATION AND AMORTIZATION</t>
  </si>
  <si>
    <t xml:space="preserve"> SELLING, GENERAL &amp; ADMINSTRATIVE(S,G &amp;A)</t>
  </si>
  <si>
    <t>OPERATING INCOME(PROFIT)</t>
  </si>
  <si>
    <t>OPERATING INCOME(PROFIT) PERCENTAGE</t>
  </si>
  <si>
    <t>Q1</t>
  </si>
  <si>
    <t>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</si>
</sst>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F800]dddd\,\ mmmm\ dd\,\ yyyy"/>
    <numFmt numFmtId="168" formatCode="_-[$$-409]* #,##0.00_ ;_-[$$-409]* \-#,##0.00\ ;_-[$$-409]* &quot;-&quot;??_ ;_-@_ "/>
    <numFmt numFmtId="169" formatCode="&quot;₹&quot;\ #,##0.00"/>
  </numFmts>
  <fonts count="7" x14ac:knownFonts="1">
    <font>
      <sz val="11"/>
      <color theme="1"/>
      <name val="Calibri"/>
      <family val="2"/>
      <scheme val="minor"/>
    </font>
    <font>
      <b/>
      <sz val="11"/>
      <color theme="1"/>
      <name val="Calibri"/>
      <family val="2"/>
      <scheme val="minor"/>
    </font>
    <font>
      <b/>
      <sz val="11"/>
      <color theme="1" tint="4.9989318521683403E-2"/>
      <name val="Calibri"/>
      <family val="2"/>
      <scheme val="minor"/>
    </font>
    <font>
      <sz val="11"/>
      <color theme="1"/>
      <name val="Calibri"/>
      <family val="2"/>
      <scheme val="minor"/>
    </font>
    <font>
      <b/>
      <sz val="11"/>
      <color theme="0"/>
      <name val="Calibri"/>
      <family val="2"/>
      <scheme val="minor"/>
    </font>
    <font>
      <sz val="11"/>
      <name val="Calibri"/>
      <family val="2"/>
      <scheme val="minor"/>
    </font>
    <font>
      <b/>
      <sz val="1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9"/>
        <bgColor indexed="64"/>
      </patternFill>
    </fill>
    <fill>
      <patternFill patternType="solid">
        <fgColor theme="1" tint="4.9989318521683403E-2"/>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23">
    <xf numFmtId="0" fontId="0" fillId="0" borderId="0" xfId="0"/>
    <xf numFmtId="14" fontId="0" fillId="0" borderId="0" xfId="0" applyNumberFormat="1"/>
    <xf numFmtId="0" fontId="1" fillId="2" borderId="0" xfId="0" applyFont="1" applyFill="1"/>
    <xf numFmtId="0" fontId="2" fillId="2" borderId="0" xfId="0" applyFont="1" applyFill="1"/>
    <xf numFmtId="164" fontId="0" fillId="0" borderId="0" xfId="0" applyNumberFormat="1"/>
    <xf numFmtId="0" fontId="1" fillId="0" borderId="0" xfId="0" applyFont="1" applyFill="1"/>
    <xf numFmtId="0" fontId="0" fillId="0" borderId="0" xfId="0" applyAlignment="1">
      <alignment horizontal="center"/>
    </xf>
    <xf numFmtId="0" fontId="1" fillId="0"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2" borderId="0" xfId="0" applyFont="1" applyFill="1" applyAlignment="1">
      <alignment horizontal="center"/>
    </xf>
    <xf numFmtId="0" fontId="5" fillId="2" borderId="0" xfId="0" applyFont="1" applyFill="1"/>
    <xf numFmtId="0" fontId="4" fillId="5" borderId="0" xfId="0" applyFont="1" applyFill="1" applyAlignment="1">
      <alignment horizontal="center"/>
    </xf>
    <xf numFmtId="0" fontId="0" fillId="0" borderId="0" xfId="0" applyBorder="1"/>
    <xf numFmtId="0" fontId="4" fillId="0" borderId="1" xfId="0" applyFont="1" applyFill="1" applyBorder="1" applyAlignment="1">
      <alignment horizontal="center"/>
    </xf>
    <xf numFmtId="0" fontId="6" fillId="6" borderId="1" xfId="0" applyFont="1" applyFill="1" applyBorder="1" applyAlignment="1">
      <alignment horizontal="center"/>
    </xf>
    <xf numFmtId="0" fontId="0" fillId="0" borderId="1" xfId="0" applyBorder="1"/>
    <xf numFmtId="17" fontId="1" fillId="2" borderId="1" xfId="0" applyNumberFormat="1" applyFont="1" applyFill="1" applyBorder="1"/>
    <xf numFmtId="10" fontId="0" fillId="0" borderId="1" xfId="2" applyNumberFormat="1" applyFont="1" applyBorder="1"/>
    <xf numFmtId="43" fontId="0" fillId="0" borderId="0" xfId="1" applyFont="1"/>
    <xf numFmtId="0" fontId="0" fillId="0" borderId="1" xfId="0" applyBorder="1" applyAlignment="1">
      <alignment wrapText="1"/>
    </xf>
    <xf numFmtId="168" fontId="0" fillId="0" borderId="1" xfId="0" applyNumberFormat="1" applyBorder="1"/>
    <xf numFmtId="169" fontId="0" fillId="0" borderId="0" xfId="0" applyNumberFormat="1"/>
  </cellXfs>
  <cellStyles count="3">
    <cellStyle name="Comma" xfId="1" builtinId="3"/>
    <cellStyle name="Normal" xfId="0" builtinId="0"/>
    <cellStyle name="Percent" xfId="2" builtinId="5"/>
  </cellStyles>
  <dxfs count="20">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strike val="0"/>
        <condense val="0"/>
        <extend val="0"/>
        <outline val="0"/>
        <shadow val="0"/>
        <u val="none"/>
        <vertAlign val="baseline"/>
        <sz val="11"/>
        <color theme="1"/>
        <name val="Calibri"/>
        <scheme val="minor"/>
      </font>
      <fill>
        <patternFill patternType="solid">
          <fgColor indexed="64"/>
          <bgColor rgb="FFFFFF00"/>
        </patternFill>
      </fill>
    </dxf>
    <dxf>
      <numFmt numFmtId="19" formatCode="dd/mm/yyyy"/>
    </dxf>
    <dxf>
      <numFmt numFmtId="19" formatCode="dd/mm/yyyy"/>
    </dxf>
    <dxf>
      <numFmt numFmtId="19" formatCode="dd/mm/yyyy"/>
    </dxf>
    <dxf>
      <numFmt numFmtId="19" formatCode="dd/mm/yyyy"/>
    </dxf>
    <dxf>
      <font>
        <b/>
        <i val="0"/>
        <strike val="0"/>
        <condense val="0"/>
        <extend val="0"/>
        <outline val="0"/>
        <shadow val="0"/>
        <u val="none"/>
        <vertAlign val="baseline"/>
        <sz val="11"/>
        <color theme="1"/>
        <name val="Calibri"/>
        <scheme val="minor"/>
      </font>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EXPENCE</a:t>
            </a:r>
            <a:r>
              <a:rPr lang="en-IN"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42A-491A-ACFF-7A20181A1DA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42A-491A-ACFF-7A20181A1DA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42A-491A-ACFF-7A20181A1D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OCTOBAR!$I$8:$I$10</c:f>
              <c:strCache>
                <c:ptCount val="3"/>
                <c:pt idx="0">
                  <c:v>FOOD</c:v>
                </c:pt>
                <c:pt idx="1">
                  <c:v>RENT</c:v>
                </c:pt>
                <c:pt idx="2">
                  <c:v>UTILITIES</c:v>
                </c:pt>
              </c:strCache>
            </c:strRef>
          </c:cat>
          <c:val>
            <c:numRef>
              <c:f>OCTOBAR!$J$8:$J$10</c:f>
              <c:numCache>
                <c:formatCode>General</c:formatCode>
                <c:ptCount val="3"/>
                <c:pt idx="0">
                  <c:v>1719</c:v>
                </c:pt>
                <c:pt idx="1">
                  <c:v>30</c:v>
                </c:pt>
                <c:pt idx="2">
                  <c:v>250</c:v>
                </c:pt>
              </c:numCache>
            </c:numRef>
          </c:val>
          <c:extLst>
            <c:ext xmlns:c16="http://schemas.microsoft.com/office/drawing/2014/chart" uri="{C3380CC4-5D6E-409C-BE32-E72D297353CC}">
              <c16:uniqueId val="{00000000-E0EB-4D72-B15E-7658D6882D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OCTOBAR!$M$1:$M$2</c:f>
              <c:strCache>
                <c:ptCount val="2"/>
                <c:pt idx="0">
                  <c:v>EXPENCE BY DATE</c:v>
                </c:pt>
                <c:pt idx="1">
                  <c:v>AMMOUNT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OCTOBAR!$L$3:$L$12</c:f>
              <c:numCache>
                <c:formatCode>m/d/yyyy</c:formatCode>
                <c:ptCount val="10"/>
                <c:pt idx="0">
                  <c:v>45931</c:v>
                </c:pt>
                <c:pt idx="1">
                  <c:v>45932</c:v>
                </c:pt>
                <c:pt idx="2">
                  <c:v>45933</c:v>
                </c:pt>
                <c:pt idx="3">
                  <c:v>45934</c:v>
                </c:pt>
                <c:pt idx="4">
                  <c:v>45935</c:v>
                </c:pt>
                <c:pt idx="5">
                  <c:v>45936</c:v>
                </c:pt>
                <c:pt idx="6">
                  <c:v>45937</c:v>
                </c:pt>
                <c:pt idx="7">
                  <c:v>45938</c:v>
                </c:pt>
                <c:pt idx="8">
                  <c:v>45939</c:v>
                </c:pt>
                <c:pt idx="9">
                  <c:v>45940</c:v>
                </c:pt>
              </c:numCache>
            </c:numRef>
          </c:cat>
          <c:val>
            <c:numRef>
              <c:f>OCTOBAR!$M$3:$M$12</c:f>
              <c:numCache>
                <c:formatCode>General</c:formatCode>
                <c:ptCount val="10"/>
                <c:pt idx="0">
                  <c:v>134</c:v>
                </c:pt>
                <c:pt idx="1">
                  <c:v>0</c:v>
                </c:pt>
                <c:pt idx="2">
                  <c:v>0</c:v>
                </c:pt>
                <c:pt idx="3">
                  <c:v>0</c:v>
                </c:pt>
                <c:pt idx="4">
                  <c:v>0</c:v>
                </c:pt>
                <c:pt idx="5">
                  <c:v>1415</c:v>
                </c:pt>
                <c:pt idx="6">
                  <c:v>0</c:v>
                </c:pt>
                <c:pt idx="7">
                  <c:v>20</c:v>
                </c:pt>
                <c:pt idx="8">
                  <c:v>280</c:v>
                </c:pt>
                <c:pt idx="9">
                  <c:v>0</c:v>
                </c:pt>
              </c:numCache>
            </c:numRef>
          </c:val>
          <c:smooth val="0"/>
          <c:extLst>
            <c:ext xmlns:c16="http://schemas.microsoft.com/office/drawing/2014/chart" uri="{C3380CC4-5D6E-409C-BE32-E72D297353CC}">
              <c16:uniqueId val="{00000000-11BE-4FA3-B394-2F6F6579E157}"/>
            </c:ext>
          </c:extLst>
        </c:ser>
        <c:dLbls>
          <c:dLblPos val="t"/>
          <c:showLegendKey val="0"/>
          <c:showVal val="1"/>
          <c:showCatName val="0"/>
          <c:showSerName val="0"/>
          <c:showPercent val="0"/>
          <c:showBubbleSize val="0"/>
        </c:dLbls>
        <c:smooth val="0"/>
        <c:axId val="1285670287"/>
        <c:axId val="1350023295"/>
      </c:lineChart>
      <c:dateAx>
        <c:axId val="1285670287"/>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023295"/>
        <c:crosses val="autoZero"/>
        <c:auto val="1"/>
        <c:lblOffset val="100"/>
        <c:baseTimeUnit val="days"/>
      </c:dateAx>
      <c:valAx>
        <c:axId val="1350023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56702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COMPANY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DECEMBER!$B$1</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DECEMBER!$A$2:$A$8</c:f>
              <c:strCache>
                <c:ptCount val="6"/>
                <c:pt idx="0">
                  <c:v>TCS</c:v>
                </c:pt>
                <c:pt idx="1">
                  <c:v>GOOGLE</c:v>
                </c:pt>
                <c:pt idx="2">
                  <c:v>IBM</c:v>
                </c:pt>
                <c:pt idx="3">
                  <c:v>INFOSYS</c:v>
                </c:pt>
                <c:pt idx="4">
                  <c:v>JIO</c:v>
                </c:pt>
                <c:pt idx="5">
                  <c:v>VEDANTA</c:v>
                </c:pt>
              </c:strCache>
            </c:strRef>
          </c:cat>
          <c:val>
            <c:numRef>
              <c:f>DECEMBER!$B$2:$B$8</c:f>
              <c:numCache>
                <c:formatCode>General</c:formatCode>
                <c:ptCount val="7"/>
                <c:pt idx="0">
                  <c:v>120</c:v>
                </c:pt>
                <c:pt idx="1">
                  <c:v>480</c:v>
                </c:pt>
                <c:pt idx="2">
                  <c:v>350</c:v>
                </c:pt>
                <c:pt idx="3">
                  <c:v>200</c:v>
                </c:pt>
                <c:pt idx="4">
                  <c:v>210</c:v>
                </c:pt>
                <c:pt idx="5">
                  <c:v>301</c:v>
                </c:pt>
              </c:numCache>
            </c:numRef>
          </c:val>
          <c:extLst>
            <c:ext xmlns:c16="http://schemas.microsoft.com/office/drawing/2014/chart" uri="{C3380CC4-5D6E-409C-BE32-E72D297353CC}">
              <c16:uniqueId val="{00000000-D409-430B-AFA1-6457F72C56AC}"/>
            </c:ext>
          </c:extLst>
        </c:ser>
        <c:ser>
          <c:idx val="1"/>
          <c:order val="1"/>
          <c:tx>
            <c:strRef>
              <c:f>DECEMBER!$C$1</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DECEMBER!$A$2:$A$8</c:f>
              <c:strCache>
                <c:ptCount val="6"/>
                <c:pt idx="0">
                  <c:v>TCS</c:v>
                </c:pt>
                <c:pt idx="1">
                  <c:v>GOOGLE</c:v>
                </c:pt>
                <c:pt idx="2">
                  <c:v>IBM</c:v>
                </c:pt>
                <c:pt idx="3">
                  <c:v>INFOSYS</c:v>
                </c:pt>
                <c:pt idx="4">
                  <c:v>JIO</c:v>
                </c:pt>
                <c:pt idx="5">
                  <c:v>VEDANTA</c:v>
                </c:pt>
              </c:strCache>
            </c:strRef>
          </c:cat>
          <c:val>
            <c:numRef>
              <c:f>DECEMBER!$C$2:$C$8</c:f>
              <c:numCache>
                <c:formatCode>General</c:formatCode>
                <c:ptCount val="7"/>
                <c:pt idx="0">
                  <c:v>25</c:v>
                </c:pt>
                <c:pt idx="1">
                  <c:v>230</c:v>
                </c:pt>
                <c:pt idx="2">
                  <c:v>180</c:v>
                </c:pt>
                <c:pt idx="3">
                  <c:v>100</c:v>
                </c:pt>
                <c:pt idx="4">
                  <c:v>105</c:v>
                </c:pt>
                <c:pt idx="5">
                  <c:v>85</c:v>
                </c:pt>
                <c:pt idx="6">
                  <c:v>0</c:v>
                </c:pt>
              </c:numCache>
            </c:numRef>
          </c:val>
          <c:extLst>
            <c:ext xmlns:c16="http://schemas.microsoft.com/office/drawing/2014/chart" uri="{C3380CC4-5D6E-409C-BE32-E72D297353CC}">
              <c16:uniqueId val="{00000001-D409-430B-AFA1-6457F72C56AC}"/>
            </c:ext>
          </c:extLst>
        </c:ser>
        <c:dLbls>
          <c:showLegendKey val="0"/>
          <c:showVal val="0"/>
          <c:showCatName val="0"/>
          <c:showSerName val="0"/>
          <c:showPercent val="0"/>
          <c:showBubbleSize val="0"/>
        </c:dLbls>
        <c:gapWidth val="100"/>
        <c:overlap val="-24"/>
        <c:axId val="1348080575"/>
        <c:axId val="1348080991"/>
      </c:barChart>
      <c:catAx>
        <c:axId val="1348080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8080991"/>
        <c:crosses val="autoZero"/>
        <c:auto val="1"/>
        <c:lblAlgn val="ctr"/>
        <c:lblOffset val="100"/>
        <c:noMultiLvlLbl val="0"/>
      </c:catAx>
      <c:valAx>
        <c:axId val="1348080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8080575"/>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30480</xdr:colOff>
      <xdr:row>14</xdr:row>
      <xdr:rowOff>53340</xdr:rowOff>
    </xdr:from>
    <xdr:to>
      <xdr:col>11</xdr:col>
      <xdr:colOff>708660</xdr:colOff>
      <xdr:row>29</xdr:row>
      <xdr:rowOff>53340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144780</xdr:colOff>
      <xdr:row>15</xdr:row>
      <xdr:rowOff>83820</xdr:rowOff>
    </xdr:from>
    <xdr:to>
      <xdr:col>5</xdr:col>
      <xdr:colOff>1036320</xdr:colOff>
      <xdr:row>30</xdr:row>
      <xdr:rowOff>83820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30480</xdr:colOff>
      <xdr:row>0</xdr:row>
      <xdr:rowOff>15240</xdr:rowOff>
    </xdr:from>
    <xdr:to>
      <xdr:col>9</xdr:col>
      <xdr:colOff>152400</xdr:colOff>
      <xdr:row>13</xdr:row>
      <xdr:rowOff>142875</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87340" y="15240"/>
              <a:ext cx="1950720" cy="25050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335280</xdr:colOff>
      <xdr:row>1</xdr:row>
      <xdr:rowOff>114300</xdr:rowOff>
    </xdr:from>
    <xdr:to>
      <xdr:col>16</xdr:col>
      <xdr:colOff>30480</xdr:colOff>
      <xdr:row>16</xdr:row>
      <xdr:rowOff>114300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2:F13" totalsRowShown="0" headerRowDxfId="19">
  <autoFilter ref="A2:F13" xr:uid="{00000000-0009-0000-0100-000004000000}"/>
  <tableColumns count="6">
    <tableColumn id="1" xr3:uid="{00000000-0010-0000-0000-000001000000}" name="DATE" dataDxfId="18"/>
    <tableColumn id="2" xr3:uid="{00000000-0010-0000-0000-000002000000}" name="CATEGORY" dataDxfId="17"/>
    <tableColumn id="3" xr3:uid="{00000000-0010-0000-0000-000003000000}" name="ITEM"/>
    <tableColumn id="4" xr3:uid="{00000000-0010-0000-0000-000004000000}" name="AMMOUNT"/>
    <tableColumn id="5" xr3:uid="{00000000-0010-0000-0000-000005000000}" name="MAJOR EXPENSE"/>
    <tableColumn id="6" xr3:uid="{00000000-0010-0000-0000-000006000000}" name="YES/NO">
      <calculatedColumnFormula>IF(D3&gt;=100,"YES","NO")</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2:F14" totalsRowCount="1">
  <autoFilter ref="A2:F13" xr:uid="{00000000-0009-0000-0100-000002000000}"/>
  <tableColumns count="6">
    <tableColumn id="1" xr3:uid="{00000000-0010-0000-0100-000001000000}" name="DATE" totalsRowLabel="Total" dataDxfId="16"/>
    <tableColumn id="2" xr3:uid="{00000000-0010-0000-0100-000002000000}" name="CATEGORY" dataDxfId="15"/>
    <tableColumn id="3" xr3:uid="{00000000-0010-0000-0100-000003000000}" name="ITEM"/>
    <tableColumn id="4" xr3:uid="{00000000-0010-0000-0100-000004000000}" name="AMMOUNT"/>
    <tableColumn id="5" xr3:uid="{00000000-0010-0000-0100-000005000000}" name="MAJOR EXPENSE" totalsRowFunction="sum"/>
    <tableColumn id="6" xr3:uid="{00000000-0010-0000-0100-000006000000}" name="YES/NO">
      <calculatedColumnFormula>IF(D3&gt;=100,"YES","NO")</calculatedColumnFormula>
    </tableColum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1:C8" totalsRowShown="0" headerRowDxfId="14">
  <autoFilter ref="A1:C8" xr:uid="{00000000-0009-0000-0100-000001000000}"/>
  <tableColumns count="3">
    <tableColumn id="1" xr3:uid="{00000000-0010-0000-0200-000001000000}" name="COMPANY"/>
    <tableColumn id="2" xr3:uid="{00000000-0010-0000-0200-000002000000}" name="REVENUE"/>
    <tableColumn id="3" xr3:uid="{00000000-0010-0000-0200-00000300000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workbookViewId="0">
      <selection activeCell="A21" sqref="A21:B21"/>
    </sheetView>
  </sheetViews>
  <sheetFormatPr defaultRowHeight="14.4" x14ac:dyDescent="0.3"/>
  <cols>
    <col min="1" max="1" width="14.6640625" bestFit="1" customWidth="1"/>
    <col min="2" max="2" width="18.77734375" customWidth="1"/>
    <col min="3" max="3" width="19" customWidth="1"/>
    <col min="4" max="4" width="17.6640625" customWidth="1"/>
    <col min="5" max="5" width="17" customWidth="1"/>
    <col min="6" max="6" width="17.33203125" customWidth="1"/>
    <col min="9" max="9" width="13.5546875" customWidth="1"/>
    <col min="10" max="10" width="10.77734375" customWidth="1"/>
    <col min="12" max="12" width="11" customWidth="1"/>
    <col min="13" max="13" width="11.5546875" customWidth="1"/>
  </cols>
  <sheetData>
    <row r="1" spans="1:16" x14ac:dyDescent="0.3">
      <c r="A1" s="8" t="s">
        <v>19</v>
      </c>
      <c r="B1" s="8"/>
      <c r="C1" s="8"/>
      <c r="D1" s="8"/>
      <c r="E1" s="8"/>
      <c r="F1" s="8"/>
      <c r="I1" s="9" t="s">
        <v>22</v>
      </c>
      <c r="J1" s="9"/>
      <c r="L1" s="8" t="s">
        <v>26</v>
      </c>
      <c r="M1" s="8"/>
    </row>
    <row r="2" spans="1:16" x14ac:dyDescent="0.3">
      <c r="A2" s="2" t="s">
        <v>0</v>
      </c>
      <c r="B2" s="2" t="s">
        <v>10</v>
      </c>
      <c r="C2" s="2" t="s">
        <v>2</v>
      </c>
      <c r="D2" s="2" t="s">
        <v>1</v>
      </c>
      <c r="E2" s="2" t="s">
        <v>18</v>
      </c>
      <c r="F2" s="2" t="s">
        <v>23</v>
      </c>
      <c r="I2" s="2" t="s">
        <v>2</v>
      </c>
      <c r="J2" s="2" t="s">
        <v>1</v>
      </c>
      <c r="L2" s="2" t="s">
        <v>0</v>
      </c>
      <c r="M2" s="2" t="s">
        <v>1</v>
      </c>
    </row>
    <row r="3" spans="1:16" x14ac:dyDescent="0.3">
      <c r="A3" s="4">
        <v>45938</v>
      </c>
      <c r="B3" s="1" t="s">
        <v>15</v>
      </c>
      <c r="C3" t="s">
        <v>13</v>
      </c>
      <c r="D3">
        <v>20</v>
      </c>
      <c r="E3">
        <v>20</v>
      </c>
      <c r="F3" t="str">
        <f>IF(D3&gt;=100,"YES","NO")</f>
        <v>NO</v>
      </c>
      <c r="I3" t="s">
        <v>20</v>
      </c>
      <c r="J3">
        <v>10000</v>
      </c>
      <c r="L3" s="1">
        <v>45931</v>
      </c>
      <c r="M3">
        <f>SUMIF($A$3:$A$13,L3,$D$3:$D$13)</f>
        <v>134</v>
      </c>
    </row>
    <row r="4" spans="1:16" x14ac:dyDescent="0.3">
      <c r="A4" s="4">
        <v>45936</v>
      </c>
      <c r="B4" s="1" t="s">
        <v>16</v>
      </c>
      <c r="C4" t="s">
        <v>11</v>
      </c>
      <c r="D4">
        <v>30</v>
      </c>
      <c r="E4">
        <v>30</v>
      </c>
      <c r="F4" t="str">
        <f t="shared" ref="F4:F13" si="0">IF(D4&gt;=100,"YES","NO")</f>
        <v>NO</v>
      </c>
      <c r="I4" t="s">
        <v>21</v>
      </c>
      <c r="J4">
        <v>5000</v>
      </c>
      <c r="L4" s="1">
        <v>45932</v>
      </c>
      <c r="M4">
        <f>SUMIF($A$3:$A$13,L4,$D$3:$D$13)</f>
        <v>0</v>
      </c>
    </row>
    <row r="5" spans="1:16" x14ac:dyDescent="0.3">
      <c r="A5" s="4">
        <v>45941</v>
      </c>
      <c r="B5" s="1" t="s">
        <v>15</v>
      </c>
      <c r="C5" t="s">
        <v>7</v>
      </c>
      <c r="D5">
        <v>50</v>
      </c>
      <c r="E5">
        <v>50</v>
      </c>
      <c r="F5" t="str">
        <f t="shared" si="0"/>
        <v>NO</v>
      </c>
      <c r="L5" s="1">
        <v>45933</v>
      </c>
      <c r="M5">
        <f t="shared" ref="M5:M12" si="1">SUMIF($A$3:$A$13,L5,$D$3:$D$13)</f>
        <v>0</v>
      </c>
    </row>
    <row r="6" spans="1:16" x14ac:dyDescent="0.3">
      <c r="A6" s="4">
        <v>45931</v>
      </c>
      <c r="B6" s="1" t="s">
        <v>15</v>
      </c>
      <c r="C6" t="s">
        <v>4</v>
      </c>
      <c r="D6">
        <v>54</v>
      </c>
      <c r="E6">
        <v>54</v>
      </c>
      <c r="F6" t="str">
        <f t="shared" si="0"/>
        <v>NO</v>
      </c>
      <c r="I6" s="8" t="s">
        <v>25</v>
      </c>
      <c r="J6" s="8"/>
      <c r="L6" s="1">
        <v>45934</v>
      </c>
      <c r="M6">
        <f t="shared" si="1"/>
        <v>0</v>
      </c>
    </row>
    <row r="7" spans="1:16" x14ac:dyDescent="0.3">
      <c r="A7" s="4">
        <v>45931</v>
      </c>
      <c r="B7" s="1" t="s">
        <v>15</v>
      </c>
      <c r="C7" t="s">
        <v>3</v>
      </c>
      <c r="D7">
        <v>80</v>
      </c>
      <c r="E7">
        <v>80</v>
      </c>
      <c r="F7" t="str">
        <f t="shared" si="0"/>
        <v>NO</v>
      </c>
      <c r="I7" s="2" t="s">
        <v>10</v>
      </c>
      <c r="J7" s="2" t="s">
        <v>1</v>
      </c>
      <c r="L7" s="1">
        <v>45935</v>
      </c>
      <c r="M7">
        <f t="shared" si="1"/>
        <v>0</v>
      </c>
    </row>
    <row r="8" spans="1:16" x14ac:dyDescent="0.3">
      <c r="A8" s="4">
        <v>45939</v>
      </c>
      <c r="B8" s="1" t="s">
        <v>17</v>
      </c>
      <c r="C8" t="s">
        <v>14</v>
      </c>
      <c r="D8">
        <v>100</v>
      </c>
      <c r="E8">
        <v>100</v>
      </c>
      <c r="F8" t="str">
        <f t="shared" si="0"/>
        <v>YES</v>
      </c>
      <c r="I8" t="s">
        <v>15</v>
      </c>
      <c r="J8">
        <f>SUMIF(B3:B13,I8,D3:D13)</f>
        <v>1719</v>
      </c>
      <c r="L8" s="1">
        <v>45936</v>
      </c>
      <c r="M8">
        <f t="shared" si="1"/>
        <v>1415</v>
      </c>
    </row>
    <row r="9" spans="1:16" x14ac:dyDescent="0.3">
      <c r="A9" s="4">
        <v>45941</v>
      </c>
      <c r="B9" s="1" t="s">
        <v>15</v>
      </c>
      <c r="C9" t="s">
        <v>9</v>
      </c>
      <c r="D9">
        <v>100</v>
      </c>
      <c r="E9">
        <v>100</v>
      </c>
      <c r="F9" t="str">
        <f t="shared" si="0"/>
        <v>YES</v>
      </c>
      <c r="I9" t="s">
        <v>16</v>
      </c>
      <c r="J9">
        <f>SUMIF(B3:B13,I9,D3:D13)</f>
        <v>30</v>
      </c>
      <c r="L9" s="1">
        <v>45937</v>
      </c>
      <c r="M9">
        <f t="shared" si="1"/>
        <v>0</v>
      </c>
    </row>
    <row r="10" spans="1:16" x14ac:dyDescent="0.3">
      <c r="A10" s="4">
        <v>45936</v>
      </c>
      <c r="B10" s="1" t="s">
        <v>17</v>
      </c>
      <c r="C10" t="s">
        <v>12</v>
      </c>
      <c r="D10">
        <v>150</v>
      </c>
      <c r="E10">
        <v>150</v>
      </c>
      <c r="F10" t="str">
        <f t="shared" si="0"/>
        <v>YES</v>
      </c>
      <c r="I10" t="s">
        <v>17</v>
      </c>
      <c r="J10">
        <f>SUMIF(B3:B13,I10,D3:D13)</f>
        <v>250</v>
      </c>
      <c r="L10" s="1">
        <v>45938</v>
      </c>
      <c r="M10">
        <f t="shared" si="1"/>
        <v>20</v>
      </c>
    </row>
    <row r="11" spans="1:16" x14ac:dyDescent="0.3">
      <c r="A11" s="4">
        <v>45939</v>
      </c>
      <c r="B11" s="1" t="s">
        <v>15</v>
      </c>
      <c r="C11" t="s">
        <v>8</v>
      </c>
      <c r="D11">
        <v>180</v>
      </c>
      <c r="E11">
        <v>180</v>
      </c>
      <c r="F11" t="str">
        <f t="shared" si="0"/>
        <v>YES</v>
      </c>
      <c r="L11" s="1">
        <v>45939</v>
      </c>
      <c r="M11">
        <f t="shared" si="1"/>
        <v>280</v>
      </c>
    </row>
    <row r="12" spans="1:16" x14ac:dyDescent="0.3">
      <c r="A12" s="4">
        <v>45936</v>
      </c>
      <c r="B12" s="1" t="s">
        <v>15</v>
      </c>
      <c r="C12" t="s">
        <v>6</v>
      </c>
      <c r="D12">
        <v>450</v>
      </c>
      <c r="E12">
        <v>450</v>
      </c>
      <c r="F12" t="str">
        <f t="shared" si="0"/>
        <v>YES</v>
      </c>
      <c r="L12" s="1">
        <v>45940</v>
      </c>
      <c r="M12">
        <f t="shared" si="1"/>
        <v>0</v>
      </c>
    </row>
    <row r="13" spans="1:16" x14ac:dyDescent="0.3">
      <c r="A13" s="4">
        <v>45936</v>
      </c>
      <c r="B13" s="1" t="s">
        <v>15</v>
      </c>
      <c r="C13" t="s">
        <v>5</v>
      </c>
      <c r="D13">
        <v>785</v>
      </c>
      <c r="E13">
        <v>785</v>
      </c>
      <c r="F13" t="str">
        <f t="shared" si="0"/>
        <v>YES</v>
      </c>
    </row>
    <row r="14" spans="1:16" x14ac:dyDescent="0.3">
      <c r="E14">
        <f>SUM(E3:E13)</f>
        <v>1999</v>
      </c>
      <c r="O14" s="13"/>
      <c r="P14" s="13"/>
    </row>
    <row r="15" spans="1:16" x14ac:dyDescent="0.3">
      <c r="O15" s="13"/>
      <c r="P15" s="13"/>
    </row>
    <row r="16" spans="1:16" x14ac:dyDescent="0.3">
      <c r="A16" s="10" t="s">
        <v>24</v>
      </c>
      <c r="B16" s="10"/>
      <c r="O16" s="13"/>
      <c r="P16" s="13"/>
    </row>
    <row r="17" spans="1:16" x14ac:dyDescent="0.3">
      <c r="A17" s="6">
        <f>AVERAGE(D3:D13)</f>
        <v>181.72727272727272</v>
      </c>
      <c r="B17" s="6"/>
      <c r="O17" s="13"/>
      <c r="P17" s="13"/>
    </row>
    <row r="21" spans="1:16" x14ac:dyDescent="0.3">
      <c r="A21" s="7"/>
      <c r="B21" s="7"/>
    </row>
    <row r="22" spans="1:16" x14ac:dyDescent="0.3">
      <c r="A22" s="5"/>
      <c r="B22" s="5"/>
    </row>
    <row r="23" spans="1:16" x14ac:dyDescent="0.3">
      <c r="A23" s="1"/>
    </row>
    <row r="24" spans="1:16" x14ac:dyDescent="0.3">
      <c r="A24" s="1"/>
    </row>
    <row r="25" spans="1:16" x14ac:dyDescent="0.3">
      <c r="A25" s="1"/>
    </row>
    <row r="26" spans="1:16" x14ac:dyDescent="0.3">
      <c r="A26" s="1"/>
    </row>
    <row r="27" spans="1:16" x14ac:dyDescent="0.3">
      <c r="A27" s="1"/>
    </row>
    <row r="35" spans="1:1" x14ac:dyDescent="0.3">
      <c r="A35" s="11" t="s">
        <v>39</v>
      </c>
    </row>
    <row r="36" spans="1:1" x14ac:dyDescent="0.3">
      <c r="A36" s="4" cm="1">
        <f t="array" ref="A36:A40">_xlfn.UNIQUE(Table4[DATE])</f>
        <v>45938</v>
      </c>
    </row>
    <row r="37" spans="1:1" x14ac:dyDescent="0.3">
      <c r="A37" s="4">
        <v>45936</v>
      </c>
    </row>
    <row r="38" spans="1:1" x14ac:dyDescent="0.3">
      <c r="A38" s="4">
        <v>45941</v>
      </c>
    </row>
    <row r="39" spans="1:1" x14ac:dyDescent="0.3">
      <c r="A39" s="4">
        <v>45931</v>
      </c>
    </row>
    <row r="40" spans="1:1" x14ac:dyDescent="0.3">
      <c r="A40" s="4">
        <v>45939</v>
      </c>
    </row>
  </sheetData>
  <sortState xmlns:xlrd2="http://schemas.microsoft.com/office/spreadsheetml/2017/richdata2" ref="A2:E13">
    <sortCondition ref="E2"/>
  </sortState>
  <mergeCells count="7">
    <mergeCell ref="A17:B17"/>
    <mergeCell ref="A21:B21"/>
    <mergeCell ref="L1:M1"/>
    <mergeCell ref="I1:J1"/>
    <mergeCell ref="A1:F1"/>
    <mergeCell ref="I6:J6"/>
    <mergeCell ref="A16:B16"/>
  </mergeCells>
  <conditionalFormatting sqref="E3:E13">
    <cfRule type="cellIs" dxfId="13" priority="4" operator="equal">
      <formula>100</formula>
    </cfRule>
    <cfRule type="cellIs" dxfId="12" priority="5" operator="lessThan">
      <formula>100</formula>
    </cfRule>
    <cfRule type="cellIs" dxfId="11" priority="6" operator="greaterThan">
      <formula>100</formula>
    </cfRule>
    <cfRule type="cellIs" dxfId="10" priority="7" operator="greaterThan">
      <formula>100</formula>
    </cfRule>
  </conditionalFormatting>
  <conditionalFormatting sqref="F3:F13">
    <cfRule type="cellIs" dxfId="9" priority="1" operator="equal">
      <formula>"NO"</formula>
    </cfRule>
    <cfRule type="cellIs" dxfId="8" priority="2" operator="equal">
      <formula>"NO"</formula>
    </cfRule>
    <cfRule type="cellIs" dxfId="7" priority="3" operator="equal">
      <formula>"YES"</formula>
    </cfRule>
  </conditionalFormatting>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
  <sheetViews>
    <sheetView workbookViewId="0">
      <selection activeCell="E14" sqref="E14"/>
    </sheetView>
  </sheetViews>
  <sheetFormatPr defaultRowHeight="14.4" x14ac:dyDescent="0.3"/>
  <cols>
    <col min="1" max="1" width="13.5546875" customWidth="1"/>
    <col min="2" max="2" width="12.109375" customWidth="1"/>
    <col min="3" max="3" width="11.33203125" customWidth="1"/>
    <col min="4" max="4" width="12.6640625" customWidth="1"/>
    <col min="5" max="5" width="17" customWidth="1"/>
    <col min="6" max="6" width="11.44140625" customWidth="1"/>
  </cols>
  <sheetData>
    <row r="1" spans="1:16" x14ac:dyDescent="0.3">
      <c r="A1" s="8" t="s">
        <v>19</v>
      </c>
      <c r="B1" s="8"/>
      <c r="C1" s="8"/>
      <c r="D1" s="8"/>
      <c r="E1" s="8"/>
      <c r="F1" s="8"/>
    </row>
    <row r="2" spans="1:16" x14ac:dyDescent="0.3">
      <c r="A2" s="3" t="s">
        <v>0</v>
      </c>
      <c r="B2" s="3" t="s">
        <v>10</v>
      </c>
      <c r="C2" s="3" t="s">
        <v>2</v>
      </c>
      <c r="D2" s="3" t="s">
        <v>1</v>
      </c>
      <c r="E2" s="3" t="s">
        <v>18</v>
      </c>
      <c r="F2" s="3" t="s">
        <v>23</v>
      </c>
      <c r="L2" s="10" t="s">
        <v>28</v>
      </c>
      <c r="M2" s="10"/>
      <c r="N2" s="10"/>
      <c r="O2" s="10"/>
      <c r="P2" s="10"/>
    </row>
    <row r="3" spans="1:16" x14ac:dyDescent="0.3">
      <c r="A3" s="1">
        <v>45938</v>
      </c>
      <c r="B3" s="1" t="s">
        <v>15</v>
      </c>
      <c r="C3" t="s">
        <v>13</v>
      </c>
      <c r="D3">
        <v>20</v>
      </c>
      <c r="E3">
        <v>20</v>
      </c>
      <c r="F3" t="str">
        <f>IF(D3&gt;=100,"YES","NO")</f>
        <v>NO</v>
      </c>
      <c r="L3" s="6">
        <f>SUM(Table2[AMMOUNT])</f>
        <v>1999</v>
      </c>
      <c r="M3" s="6"/>
      <c r="N3" s="6"/>
      <c r="O3" s="6"/>
      <c r="P3" s="6"/>
    </row>
    <row r="4" spans="1:16" x14ac:dyDescent="0.3">
      <c r="A4" s="1">
        <v>45936</v>
      </c>
      <c r="B4" s="1" t="s">
        <v>16</v>
      </c>
      <c r="C4" t="s">
        <v>11</v>
      </c>
      <c r="D4">
        <v>30</v>
      </c>
      <c r="E4">
        <v>30</v>
      </c>
      <c r="F4" t="str">
        <f t="shared" ref="F4:F13" si="0">IF(D4&gt;=100,"YES","NO")</f>
        <v>NO</v>
      </c>
    </row>
    <row r="5" spans="1:16" x14ac:dyDescent="0.3">
      <c r="A5" s="1">
        <v>45935</v>
      </c>
      <c r="B5" s="1" t="s">
        <v>15</v>
      </c>
      <c r="C5" t="s">
        <v>7</v>
      </c>
      <c r="D5">
        <v>50</v>
      </c>
      <c r="E5">
        <v>50</v>
      </c>
      <c r="F5" t="str">
        <f t="shared" si="0"/>
        <v>NO</v>
      </c>
    </row>
    <row r="6" spans="1:16" x14ac:dyDescent="0.3">
      <c r="A6" s="1">
        <v>45932</v>
      </c>
      <c r="B6" s="1" t="s">
        <v>15</v>
      </c>
      <c r="C6" t="s">
        <v>4</v>
      </c>
      <c r="D6">
        <v>54</v>
      </c>
      <c r="E6">
        <v>54</v>
      </c>
      <c r="F6" t="str">
        <f t="shared" si="0"/>
        <v>NO</v>
      </c>
    </row>
    <row r="7" spans="1:16" x14ac:dyDescent="0.3">
      <c r="A7" s="1">
        <v>45931</v>
      </c>
      <c r="B7" s="1" t="s">
        <v>15</v>
      </c>
      <c r="C7" t="s">
        <v>3</v>
      </c>
      <c r="D7">
        <v>80</v>
      </c>
      <c r="E7">
        <v>80</v>
      </c>
      <c r="F7" t="str">
        <f t="shared" si="0"/>
        <v>NO</v>
      </c>
    </row>
    <row r="8" spans="1:16" x14ac:dyDescent="0.3">
      <c r="A8" s="1">
        <v>45939</v>
      </c>
      <c r="B8" s="1" t="s">
        <v>17</v>
      </c>
      <c r="C8" t="s">
        <v>14</v>
      </c>
      <c r="D8">
        <v>100</v>
      </c>
      <c r="E8">
        <v>100</v>
      </c>
      <c r="F8" t="str">
        <f t="shared" si="0"/>
        <v>YES</v>
      </c>
    </row>
    <row r="9" spans="1:16" x14ac:dyDescent="0.3">
      <c r="A9" s="1">
        <v>45941</v>
      </c>
      <c r="B9" s="1" t="s">
        <v>15</v>
      </c>
      <c r="C9" t="s">
        <v>9</v>
      </c>
      <c r="D9">
        <v>100</v>
      </c>
      <c r="E9">
        <v>100</v>
      </c>
      <c r="F9" t="str">
        <f t="shared" si="0"/>
        <v>YES</v>
      </c>
    </row>
    <row r="10" spans="1:16" x14ac:dyDescent="0.3">
      <c r="A10" s="1">
        <v>45937</v>
      </c>
      <c r="B10" s="1" t="s">
        <v>17</v>
      </c>
      <c r="C10" t="s">
        <v>12</v>
      </c>
      <c r="D10">
        <v>150</v>
      </c>
      <c r="E10">
        <v>150</v>
      </c>
      <c r="F10" t="str">
        <f t="shared" si="0"/>
        <v>YES</v>
      </c>
    </row>
    <row r="11" spans="1:16" x14ac:dyDescent="0.3">
      <c r="A11" s="1">
        <v>45940</v>
      </c>
      <c r="B11" s="1" t="s">
        <v>15</v>
      </c>
      <c r="C11" t="s">
        <v>8</v>
      </c>
      <c r="D11">
        <v>180</v>
      </c>
      <c r="E11">
        <v>180</v>
      </c>
      <c r="F11" t="str">
        <f t="shared" si="0"/>
        <v>YES</v>
      </c>
    </row>
    <row r="12" spans="1:16" x14ac:dyDescent="0.3">
      <c r="A12" s="1">
        <v>45934</v>
      </c>
      <c r="B12" s="1" t="s">
        <v>15</v>
      </c>
      <c r="C12" t="s">
        <v>6</v>
      </c>
      <c r="D12">
        <v>450</v>
      </c>
      <c r="E12">
        <v>450</v>
      </c>
      <c r="F12" t="str">
        <f t="shared" si="0"/>
        <v>YES</v>
      </c>
    </row>
    <row r="13" spans="1:16" x14ac:dyDescent="0.3">
      <c r="A13" s="1">
        <v>45933</v>
      </c>
      <c r="B13" s="1" t="s">
        <v>15</v>
      </c>
      <c r="C13" t="s">
        <v>5</v>
      </c>
      <c r="D13">
        <v>785</v>
      </c>
      <c r="E13">
        <v>785</v>
      </c>
      <c r="F13" t="str">
        <f t="shared" si="0"/>
        <v>YES</v>
      </c>
    </row>
    <row r="14" spans="1:16" x14ac:dyDescent="0.3">
      <c r="A14" t="s">
        <v>27</v>
      </c>
      <c r="E14">
        <f>SUBTOTAL(109,Table2[MAJOR EXPENSE])</f>
        <v>1999</v>
      </c>
    </row>
  </sheetData>
  <mergeCells count="3">
    <mergeCell ref="A1:F1"/>
    <mergeCell ref="L2:P2"/>
    <mergeCell ref="L3:P3"/>
  </mergeCells>
  <conditionalFormatting sqref="E3:E13">
    <cfRule type="cellIs" dxfId="6" priority="4" operator="equal">
      <formula>100</formula>
    </cfRule>
    <cfRule type="cellIs" dxfId="5" priority="5" operator="lessThan">
      <formula>100</formula>
    </cfRule>
    <cfRule type="cellIs" dxfId="4" priority="6" operator="greaterThan">
      <formula>100</formula>
    </cfRule>
    <cfRule type="cellIs" dxfId="3" priority="7" operator="greaterThan">
      <formula>100</formula>
    </cfRule>
  </conditionalFormatting>
  <conditionalFormatting sqref="F3:F13">
    <cfRule type="cellIs" dxfId="2" priority="1" operator="equal">
      <formula>"NO"</formula>
    </cfRule>
    <cfRule type="cellIs" dxfId="1" priority="2" operator="equal">
      <formula>"NO"</formula>
    </cfRule>
    <cfRule type="cellIs" dxfId="0" priority="3" operator="equal">
      <formula>"YES"</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activeCell="A3" sqref="A3"/>
    </sheetView>
  </sheetViews>
  <sheetFormatPr defaultRowHeight="14.4" x14ac:dyDescent="0.3"/>
  <cols>
    <col min="1" max="1" width="11.77734375" customWidth="1"/>
    <col min="2" max="2" width="12" customWidth="1"/>
  </cols>
  <sheetData>
    <row r="1" spans="1:3" x14ac:dyDescent="0.3">
      <c r="A1" s="2" t="s">
        <v>29</v>
      </c>
      <c r="B1" s="2" t="s">
        <v>30</v>
      </c>
      <c r="C1" s="2" t="s">
        <v>31</v>
      </c>
    </row>
    <row r="2" spans="1:3" x14ac:dyDescent="0.3">
      <c r="A2" t="s">
        <v>32</v>
      </c>
      <c r="B2">
        <v>120</v>
      </c>
      <c r="C2">
        <v>25</v>
      </c>
    </row>
    <row r="3" spans="1:3" x14ac:dyDescent="0.3">
      <c r="A3" t="s">
        <v>33</v>
      </c>
      <c r="B3">
        <v>480</v>
      </c>
      <c r="C3">
        <v>230</v>
      </c>
    </row>
    <row r="4" spans="1:3" x14ac:dyDescent="0.3">
      <c r="A4" t="s">
        <v>34</v>
      </c>
      <c r="B4">
        <v>350</v>
      </c>
      <c r="C4">
        <v>180</v>
      </c>
    </row>
    <row r="5" spans="1:3" x14ac:dyDescent="0.3">
      <c r="A5" t="s">
        <v>35</v>
      </c>
      <c r="B5">
        <v>200</v>
      </c>
      <c r="C5">
        <v>100</v>
      </c>
    </row>
    <row r="6" spans="1:3" x14ac:dyDescent="0.3">
      <c r="A6" t="s">
        <v>36</v>
      </c>
      <c r="B6">
        <v>210</v>
      </c>
      <c r="C6">
        <v>105</v>
      </c>
    </row>
    <row r="7" spans="1:3" x14ac:dyDescent="0.3">
      <c r="A7" t="s">
        <v>37</v>
      </c>
      <c r="B7">
        <v>301</v>
      </c>
      <c r="C7">
        <v>85</v>
      </c>
    </row>
    <row r="8" spans="1:3" x14ac:dyDescent="0.3">
      <c r="C8" t="s">
        <v>38</v>
      </c>
    </row>
  </sheetData>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525EB-2CC1-4A1A-B9A7-95A51F2AE1CC}">
  <dimension ref="A1:L22"/>
  <sheetViews>
    <sheetView workbookViewId="0">
      <selection activeCell="D6" sqref="D6"/>
    </sheetView>
  </sheetViews>
  <sheetFormatPr defaultRowHeight="14.4" x14ac:dyDescent="0.3"/>
  <cols>
    <col min="1" max="1" width="34.109375" customWidth="1"/>
    <col min="2" max="2" width="8.88671875" customWidth="1"/>
    <col min="3" max="3" width="7.5546875" customWidth="1"/>
    <col min="4" max="4" width="7.6640625" customWidth="1"/>
    <col min="5" max="5" width="8.88671875" customWidth="1"/>
    <col min="6" max="6" width="8.21875" customWidth="1"/>
    <col min="7" max="7" width="8.109375" customWidth="1"/>
    <col min="12" max="12" width="47.44140625" customWidth="1"/>
  </cols>
  <sheetData>
    <row r="1" spans="1:12" x14ac:dyDescent="0.3">
      <c r="A1" s="12" t="s">
        <v>40</v>
      </c>
      <c r="B1" s="12"/>
      <c r="C1" s="12"/>
      <c r="D1" s="12"/>
      <c r="E1" s="12"/>
      <c r="F1" s="12"/>
      <c r="G1" s="12"/>
      <c r="I1" s="22"/>
    </row>
    <row r="2" spans="1:12" x14ac:dyDescent="0.3">
      <c r="A2" s="14"/>
      <c r="B2" s="15" t="s">
        <v>46</v>
      </c>
      <c r="C2" s="15"/>
      <c r="D2" s="15"/>
      <c r="E2" s="15" t="s">
        <v>47</v>
      </c>
      <c r="F2" s="15"/>
      <c r="G2" s="15"/>
    </row>
    <row r="3" spans="1:12" x14ac:dyDescent="0.3">
      <c r="A3" s="16"/>
      <c r="B3" s="17">
        <v>45658</v>
      </c>
      <c r="C3" s="17">
        <v>45689</v>
      </c>
      <c r="D3" s="17">
        <v>45717</v>
      </c>
      <c r="E3" s="17">
        <v>45748</v>
      </c>
      <c r="F3" s="17">
        <v>45778</v>
      </c>
      <c r="G3" s="17">
        <v>45809</v>
      </c>
    </row>
    <row r="4" spans="1:12" x14ac:dyDescent="0.3">
      <c r="A4" s="16" t="s">
        <v>30</v>
      </c>
      <c r="B4" s="21">
        <v>100</v>
      </c>
      <c r="C4" s="21">
        <v>85</v>
      </c>
      <c r="D4" s="21">
        <v>87</v>
      </c>
      <c r="E4" s="21">
        <v>73</v>
      </c>
      <c r="F4" s="21">
        <v>68</v>
      </c>
      <c r="G4" s="21">
        <v>85</v>
      </c>
    </row>
    <row r="5" spans="1:12" x14ac:dyDescent="0.3">
      <c r="A5" s="16" t="s">
        <v>41</v>
      </c>
      <c r="B5" s="21">
        <v>42</v>
      </c>
      <c r="C5" s="21">
        <v>37</v>
      </c>
      <c r="D5" s="21">
        <v>38</v>
      </c>
      <c r="E5" s="21">
        <v>32</v>
      </c>
      <c r="F5" s="21">
        <v>18</v>
      </c>
      <c r="G5" s="21">
        <v>49</v>
      </c>
    </row>
    <row r="6" spans="1:12" ht="28.8" x14ac:dyDescent="0.3">
      <c r="A6" s="20" t="s">
        <v>43</v>
      </c>
      <c r="B6" s="21">
        <v>12</v>
      </c>
      <c r="C6" s="21">
        <v>1</v>
      </c>
      <c r="D6" s="21">
        <v>4</v>
      </c>
      <c r="E6" s="21">
        <v>5</v>
      </c>
      <c r="F6" s="21">
        <v>8</v>
      </c>
      <c r="G6" s="21">
        <v>2</v>
      </c>
    </row>
    <row r="7" spans="1:12" x14ac:dyDescent="0.3">
      <c r="A7" s="16" t="s">
        <v>42</v>
      </c>
      <c r="B7" s="21">
        <v>17</v>
      </c>
      <c r="C7" s="21">
        <v>15</v>
      </c>
      <c r="D7" s="21">
        <v>7</v>
      </c>
      <c r="E7" s="21">
        <v>12</v>
      </c>
      <c r="F7" s="21">
        <v>10</v>
      </c>
      <c r="G7" s="21">
        <v>9</v>
      </c>
    </row>
    <row r="8" spans="1:12" x14ac:dyDescent="0.3">
      <c r="A8" s="16" t="s">
        <v>44</v>
      </c>
      <c r="B8" s="21">
        <f>B4-SUM(B5:B7)</f>
        <v>29</v>
      </c>
      <c r="C8" s="21">
        <f t="shared" ref="C8:G8" si="0">C4-SUM(C5:C7)</f>
        <v>32</v>
      </c>
      <c r="D8" s="21">
        <f t="shared" si="0"/>
        <v>38</v>
      </c>
      <c r="E8" s="21">
        <f t="shared" si="0"/>
        <v>24</v>
      </c>
      <c r="F8" s="21">
        <f t="shared" si="0"/>
        <v>32</v>
      </c>
      <c r="G8" s="21">
        <f t="shared" si="0"/>
        <v>25</v>
      </c>
      <c r="L8" s="19">
        <v>6.4646846846546805E+20</v>
      </c>
    </row>
    <row r="9" spans="1:12" ht="28.8" x14ac:dyDescent="0.3">
      <c r="A9" s="20" t="s">
        <v>45</v>
      </c>
      <c r="B9" s="18">
        <f>B8/B4</f>
        <v>0.28999999999999998</v>
      </c>
      <c r="C9" s="18">
        <f t="shared" ref="C9:G9" si="1">C8/C4</f>
        <v>0.37647058823529411</v>
      </c>
      <c r="D9" s="18">
        <f t="shared" si="1"/>
        <v>0.43678160919540232</v>
      </c>
      <c r="E9" s="18">
        <f t="shared" si="1"/>
        <v>0.32876712328767121</v>
      </c>
      <c r="F9" s="18">
        <f t="shared" si="1"/>
        <v>0.47058823529411764</v>
      </c>
      <c r="G9" s="18">
        <f t="shared" si="1"/>
        <v>0.29411764705882354</v>
      </c>
    </row>
    <row r="22" spans="5:5" x14ac:dyDescent="0.3">
      <c r="E22" s="22"/>
    </row>
  </sheetData>
  <mergeCells count="3">
    <mergeCell ref="A1:G1"/>
    <mergeCell ref="B2:D2"/>
    <mergeCell ref="E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OCTOBAR</vt:lpstr>
      <vt:lpstr>NOVEMBER</vt:lpstr>
      <vt:lpstr>DECEMBER</vt:lpstr>
      <vt:lpstr>JAN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SUBHAYAN KUNDU</dc:creator>
  <cp:lastModifiedBy>SUBHAYAN KUNDU</cp:lastModifiedBy>
  <dcterms:created xsi:type="dcterms:W3CDTF">2025-10-29T17:19:44Z</dcterms:created>
  <dcterms:modified xsi:type="dcterms:W3CDTF">2025-10-30T22:39:47Z</dcterms:modified>
</cp:coreProperties>
</file>